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Product Backlog" sheetId="1" r:id="rId1"/>
    <sheet name="Tổng hợp" sheetId="2" r:id="rId2"/>
  </sheets>
  <definedNames>
    <definedName name="_xlnm._FilterDatabase" localSheetId="0" hidden="1">'Product Backlog'!$A$1:$K$54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<sst xmlns="http://schemas.openxmlformats.org/spreadsheetml/2006/main" count="503" uniqueCount="255">
  <si>
    <t>ID</t>
  </si>
  <si>
    <t>Epic</t>
  </si>
  <si>
    <t>User story</t>
  </si>
  <si>
    <t>Tiêu chí chấp nhận</t>
  </si>
  <si>
    <t>Ưu tiên</t>
  </si>
  <si>
    <t>Story point</t>
  </si>
  <si>
    <t>Sprint</t>
  </si>
  <si>
    <t>Bản phát hành</t>
  </si>
  <si>
    <t>Yêu cầu liên quan</t>
  </si>
  <si>
    <t>Trạng thái</t>
  </si>
  <si>
    <t>Ghi chú</t>
  </si>
  <si>
    <t>A1</t>
  </si>
  <si>
    <t>A. Thư viện kiến thức</t>
  </si>
  <si>
    <t>Là học sinh, tôi muốn xem danh sách các loại tứ giác để biết mình cần học những hình nào</t>
  </si>
  <si>
    <t>Hiển thị danh sách hình theo lớp đã chọn, có tên và hình nhỏ; bấm vào mở chi tiết</t>
  </si>
  <si>
    <t>M</t>
  </si>
  <si>
    <t>MVP</t>
  </si>
  <si>
    <t>FR-01</t>
  </si>
  <si>
    <t>Hoàn thành</t>
  </si>
  <si>
    <t>Danh sách hình lọc theo lớp (api /api/hinh)</t>
  </si>
  <si>
    <t>A2</t>
  </si>
  <si>
    <t>Là học sinh, tôi muốn xem thẻ kiến thức của từng hình (định nghĩa, tính chất, dấu hiệu, công thức)</t>
  </si>
  <si>
    <t>Đủ các mục theo Phụ lục A của hồ sơ đặc tả; công thức hiển thị đúng ký hiệu</t>
  </si>
  <si>
    <t>FR-02</t>
  </si>
  <si>
    <t>Có định nghĩa, tính chất, dấu hiệu, công thức; chưa có mục Ví dụ</t>
  </si>
  <si>
    <t>A3</t>
  </si>
  <si>
    <t>Là học sinh, tôi muốn xem hình minh họa có ký hiệu cạnh bằng, song song, góc vuông</t>
  </si>
  <si>
    <t>Hình vẽ đúng ký hiệu chuẩn sách giáo khoa</t>
  </si>
  <si>
    <t>FR-03</t>
  </si>
  <si>
    <t>Chưa làm</t>
  </si>
  <si>
    <t>A4</t>
  </si>
  <si>
    <t>Là học sinh, tôi muốn xem sơ đồ quan hệ giữa các hình để hiểu hình nào nằm trong hình nào</t>
  </si>
  <si>
    <t>Sơ đồ bao hàm đúng; bấm vào nút nhảy tới thẻ hình</t>
  </si>
  <si>
    <t>FR-04</t>
  </si>
  <si>
    <t>Sơ đồ xếp tầng dạng danh sách, từ lớp 8; chưa vẽ đồ thị</t>
  </si>
  <si>
    <t>A5</t>
  </si>
  <si>
    <t>Là học sinh, tôi muốn xem bảng so sánh các hình để phân biệt nhanh</t>
  </si>
  <si>
    <t>Bảng so sánh đúng; cuộn ngang được trên điện thoại</t>
  </si>
  <si>
    <t>S</t>
  </si>
  <si>
    <t>FR-05</t>
  </si>
  <si>
    <t>A6</t>
  </si>
  <si>
    <t>Là học sinh, tôi muốn thấy mẹo nhớ ngắn cho mỗi hình</t>
  </si>
  <si>
    <t>Mỗi hình có ít nhất 1 mẹo, tối đa 2 câu</t>
  </si>
  <si>
    <t>C</t>
  </si>
  <si>
    <t>1.1</t>
  </si>
  <si>
    <t>B1</t>
  </si>
  <si>
    <t>B. Tra cứu và nhận diện</t>
  </si>
  <si>
    <t>Là học sinh, tôi muốn tìm hình theo tên</t>
  </si>
  <si>
    <t>Tìm không phân biệt hoa thường, có hoặc không dấu</t>
  </si>
  <si>
    <t>B2</t>
  </si>
  <si>
    <t>Là học sinh, tôi muốn lọc hình theo đặc điểm</t>
  </si>
  <si>
    <t>Lọc nhiều điều kiện cùng lúc, kết quả đúng bảng so sánh</t>
  </si>
  <si>
    <t>B3</t>
  </si>
  <si>
    <t>Là học sinh, tôi muốn chọn các đặc điểm đã biết và nhận gợi ý đó là hình gì</t>
  </si>
  <si>
    <t>Trả về hình phù hợp nhất kèm giải thích; báo "không đủ dữ kiện" nếu thiếu</t>
  </si>
  <si>
    <t>FR-07</t>
  </si>
  <si>
    <t>B4</t>
  </si>
  <si>
    <t>Là học sinh, tôi muốn kéo đỉnh của hình để thấy tính chất luôn đúng</t>
  </si>
  <si>
    <t>Kéo mượt; ký hiệu tự cập nhật; hình không thoát khỏi loại đang học</t>
  </si>
  <si>
    <t>C1</t>
  </si>
  <si>
    <t>C. Luyện tập và ôn tập</t>
  </si>
  <si>
    <t>Là học sinh, tôi muốn làm câu nhận diện tên hình</t>
  </si>
  <si>
    <t>Ngân hàng ít nhất 40 câu, 2 mức độ, phản hồi đúng sai tức thì</t>
  </si>
  <si>
    <t>FR-06, FR-08</t>
  </si>
  <si>
    <t>Đang làm</t>
  </si>
  <si>
    <t>Có dạng định nghĩa → tên hình; chưa đủ 40 câu, chưa có 2 mức độ</t>
  </si>
  <si>
    <t>C2</t>
  </si>
  <si>
    <t>Là học sinh, tôi muốn làm câu hỏi về tính chất</t>
  </si>
  <si>
    <t>Ít nhất 30 câu, có giải thích</t>
  </si>
  <si>
    <t>FR-08</t>
  </si>
  <si>
    <t>C3</t>
  </si>
  <si>
    <t>Là học sinh, tôi muốn làm câu hỏi về dấu hiệu nhận biết</t>
  </si>
  <si>
    <t>Có dạng dấu hiệu → kết luận (khoảng 24 câu); chưa đủ 30 câu, chưa có giải thích</t>
  </si>
  <si>
    <t>C4</t>
  </si>
  <si>
    <t>Là học sinh, tôi muốn làm câu hỏi phân biệt "tính chất" và "dấu hiệu"</t>
  </si>
  <si>
    <t>Ít nhất 20 câu tình huống</t>
  </si>
  <si>
    <t>C5</t>
  </si>
  <si>
    <t>Là học sinh, tôi muốn làm bài tập công thức chu vi, diện tích, đường chéo</t>
  </si>
  <si>
    <t>Ít nhất 30 câu, số liệu ngẫu nhiên, đáp án kèm bước giải</t>
  </si>
  <si>
    <t>Có dạng công thức → tên hình; chưa có bài tính số liệu và bước giải</t>
  </si>
  <si>
    <t>C6</t>
  </si>
  <si>
    <t>Là học sinh, tôi muốn dùng máy tính công thức để kiểm tra kết quả</t>
  </si>
  <si>
    <t>Nhập số, hiển thị bước thế số, báo lỗi dữ liệu không hợp lệ</t>
  </si>
  <si>
    <t>FR-09</t>
  </si>
  <si>
    <t>C7</t>
  </si>
  <si>
    <t>Là học sinh, tôi muốn ôn flashcard theo lịch lặp lại</t>
  </si>
  <si>
    <t>Thẻ sai lặp lại sớm hơn; có nút đã nhớ / chưa nhớ</t>
  </si>
  <si>
    <t>FR-10</t>
  </si>
  <si>
    <t>C8</t>
  </si>
  <si>
    <t>Là học sinh, tôi muốn làm bài kiểm tra tổng hợp</t>
  </si>
  <si>
    <t>10–20 câu trộn dạng, có điểm và lời giải</t>
  </si>
  <si>
    <t>FR-12</t>
  </si>
  <si>
    <t>D1</t>
  </si>
  <si>
    <t>D. Theo dõi tiến độ</t>
  </si>
  <si>
    <t>Là học sinh, tôi muốn xem điểm theo từng chủ đề</t>
  </si>
  <si>
    <t>Biểu đồ hoặc phần trăm theo hình và theo dạng bài</t>
  </si>
  <si>
    <t>FR-11</t>
  </si>
  <si>
    <t>D2</t>
  </si>
  <si>
    <t>Là học sinh, tôi muốn xem danh sách thẻ hay sai</t>
  </si>
  <si>
    <t>Sắp theo số lần sai, bấm để ôn lại</t>
  </si>
  <si>
    <t>D3</t>
  </si>
  <si>
    <t>Là học sinh, tôi muốn có chuỗi ngày học và huy hiệu để có động lực</t>
  </si>
  <si>
    <t>Chuỗi tính theo ngày; huy hiệu cơ bản</t>
  </si>
  <si>
    <t>E1</t>
  </si>
  <si>
    <t>E. Tài khoản và giáo viên</t>
  </si>
  <si>
    <t>Là học sinh, tôi muốn đăng nhập để lưu tiến độ trên nhiều thiết bị</t>
  </si>
  <si>
    <t>Đăng ký, đăng nhập, quên mật khẩu, đồng bộ</t>
  </si>
  <si>
    <t>FR-13</t>
  </si>
  <si>
    <t>E2</t>
  </si>
  <si>
    <t>Là giáo viên, tôi muốn tạo lớp và mời học sinh bằng mã</t>
  </si>
  <si>
    <t>Mã lớp, danh sách học sinh</t>
  </si>
  <si>
    <t>2.0</t>
  </si>
  <si>
    <t>FR-14</t>
  </si>
  <si>
    <t>E3</t>
  </si>
  <si>
    <t>Là giáo viên, tôi muốn giao bài và xem báo cáo cả lớp</t>
  </si>
  <si>
    <t>Giao theo chủ đề và khối lớp; báo cáo điểm và lỗi sai phổ biến</t>
  </si>
  <si>
    <t>E4</t>
  </si>
  <si>
    <t>Là giáo viên, tôi muốn thêm hoặc sửa câu hỏi của riêng mình</t>
  </si>
  <si>
    <t>Giao diện quản lý ngân hàng câu hỏi, duyệt trước khi dùng</t>
  </si>
  <si>
    <t>F1</t>
  </si>
  <si>
    <t>F. Nền tảng kỹ thuật và chất lượng</t>
  </si>
  <si>
    <t>Thiết lập dự án, CI/CD, môi trường thử nghiệm</t>
  </si>
  <si>
    <t>Triển khai tự động lên môi trường thử nghiệm</t>
  </si>
  <si>
    <t>NFR</t>
  </si>
  <si>
    <t>F2</t>
  </si>
  <si>
    <t>Thiết kế UI/UX và design system</t>
  </si>
  <si>
    <t>Bộ màn hình chính, được Product Owner duyệt</t>
  </si>
  <si>
    <t>F3</t>
  </si>
  <si>
    <t>Hiển thị công thức toán chuẩn</t>
  </si>
  <si>
    <t>Dùng LaTeX hoặc MathML, hiển thị đúng trên điện thoại</t>
  </si>
  <si>
    <t>F4</t>
  </si>
  <si>
    <t>Kiểm duyệt nội dung bởi giáo viên</t>
  </si>
  <si>
    <t>Mọi thẻ và câu hỏi có trạng thái "đã duyệt"</t>
  </si>
  <si>
    <t>Liên tục</t>
  </si>
  <si>
    <t>BR-08</t>
  </si>
  <si>
    <t>F5</t>
  </si>
  <si>
    <t>Kiểm thử khả dụng với 5–10 học sinh</t>
  </si>
  <si>
    <t>Báo cáo lỗi và danh sách cải tiến</t>
  </si>
  <si>
    <t>F6</t>
  </si>
  <si>
    <t>Bảo mật, quyền riêng tư dữ liệu học sinh</t>
  </si>
  <si>
    <t>Rà soát trước khi có tài khoản</t>
  </si>
  <si>
    <t>G1</t>
  </si>
  <si>
    <t>G. Cá nhân hóa theo khối lớp (6–12)</t>
  </si>
  <si>
    <t>Là học sinh, tôi muốn chọn lớp (6–12) khi bắt đầu để chỉ thấy nội dung phù hợp</t>
  </si>
  <si>
    <t>Màn hình chọn lớp lần đầu; đổi lớp trong Cài đặt; không mất tiến độ</t>
  </si>
  <si>
    <t>FR-15</t>
  </si>
  <si>
    <t>Chọn lớp 6–12, nhớ bằng localStorage</t>
  </si>
  <si>
    <t>G2</t>
  </si>
  <si>
    <t>Là đội phát triển, chúng tôi cần mô hình nội dung gắn nhãn lớp, mức độ, bộ sách, trạng thái duyệt</t>
  </si>
  <si>
    <t>Mọi thẻ, câu hỏi, công thức có đủ thuộc tính theo BR-07</t>
  </si>
  <si>
    <t>FR-16, BR-07</t>
  </si>
  <si>
    <t>Đã có lop_min; chưa có mức độ, bộ sách, trạng thái duyệt (BR-07)</t>
  </si>
  <si>
    <t>G3</t>
  </si>
  <si>
    <t>Là học sinh, tôi muốn thẻ kiến thức, câu hỏi, công thức được lọc theo lớp</t>
  </si>
  <si>
    <t>Không hiển thị nội dung ngoài lớp (trừ khi xem trước)</t>
  </si>
  <si>
    <t>FR-16</t>
  </si>
  <si>
    <t>Lọc hình, tính chất, dấu hiệu, công thức, câu hỏi theo lớp</t>
  </si>
  <si>
    <t>G4</t>
  </si>
  <si>
    <t>Là học sinh, tôi muốn xem trước lớp trên và ôn lại lớp dưới</t>
  </si>
  <si>
    <t>Nhãn "Sẽ học ở lớp X" và "Ôn lớp Y"; bật tắt được</t>
  </si>
  <si>
    <t>FR-17, FR-18</t>
  </si>
  <si>
    <t>Có nhãn Ôn tập; chưa có chế độ xem trước lớp trên</t>
  </si>
  <si>
    <t>G5</t>
  </si>
  <si>
    <t>Là học sinh lớp 6, tôi muốn học 5 hình, đối xứng, chu vi, diện tích</t>
  </si>
  <si>
    <t>Ít nhất 40 câu hỏi; hình động; đúng phạm vi lớp 6</t>
  </si>
  <si>
    <t>Có 5 hình lớp 6, chu vi, diện tích; chưa có đối xứng, chưa đủ 40 câu</t>
  </si>
  <si>
    <t>G6</t>
  </si>
  <si>
    <t>Là học sinh lớp 7, tôi muốn ôn lớp 6 và học hình khối có đáy là tứ giác</t>
  </si>
  <si>
    <t>Ít nhất 30 câu hỏi; công thức lăng trụ, hình hộp</t>
  </si>
  <si>
    <t>G7</t>
  </si>
  <si>
    <t>Gắn nhãn lớp 8 cho toàn bộ nội dung Epic A–C đã có</t>
  </si>
  <si>
    <t>Mọi mục lớp 8 có nhãn lớp và mức độ</t>
  </si>
  <si>
    <t>Nội dung lớp 8 trong data.py đều có lop_min</t>
  </si>
  <si>
    <t>G8</t>
  </si>
  <si>
    <t>Là học sinh lớp 9, tôi muốn học tứ giác nội tiếp và ôn thi vào lớp 10</t>
  </si>
  <si>
    <t>Thẻ kiến thức, ít nhất 30 câu, bộ đề ôn</t>
  </si>
  <si>
    <t>FR-16, FR-21</t>
  </si>
  <si>
    <t>Có tứ giác nội tiếp; chưa có bộ đề ôn thi vào 10</t>
  </si>
  <si>
    <t>G9</t>
  </si>
  <si>
    <t>Là học sinh lớp 10, tôi muốn luyện tứ giác bằng vectơ và tọa độ</t>
  </si>
  <si>
    <t>Ít nhất 30 câu; công thức diện tích dùng sin</t>
  </si>
  <si>
    <t>1.2</t>
  </si>
  <si>
    <t>G10</t>
  </si>
  <si>
    <t>Là học sinh lớp 11, tôi muốn luyện tứ giác trong không gian</t>
  </si>
  <si>
    <t>Thiết diện, hình hộp, chóp đáy tứ giác</t>
  </si>
  <si>
    <t>G11</t>
  </si>
  <si>
    <t>Là học sinh lớp 12, tôi muốn luyện tứ giác bằng tọa độ Oxyz và bài tối ưu</t>
  </si>
  <si>
    <t>Ít nhất 30 câu; có đề ôn tốt nghiệp</t>
  </si>
  <si>
    <t>G12</t>
  </si>
  <si>
    <t>Là học sinh, tôi muốn làm kiểm tra đầu vào và nhận lộ trình theo lớp</t>
  </si>
  <si>
    <t>Bài ngắn theo lớp, gợi ý hình cần học trước</t>
  </si>
  <si>
    <t>FR-20</t>
  </si>
  <si>
    <t>G13</t>
  </si>
  <si>
    <t>Là học sinh, tôi muốn giao diện và cách trình bày phù hợp lứa tuổi</t>
  </si>
  <si>
    <t>Ba kiểu trình bày theo cấp học</t>
  </si>
  <si>
    <t>FR-19</t>
  </si>
  <si>
    <t>G14</t>
  </si>
  <si>
    <t>Là giáo viên, tôi muốn duyệt nội dung theo từng khối lớp</t>
  </si>
  <si>
    <t>Trạng thái duyệt theo lớp; chỉ nội dung đã duyệt được hiển thị</t>
  </si>
  <si>
    <t>H1</t>
  </si>
  <si>
    <t>H. Cơ sở dữ liệu đồ thị Neo4j</t>
  </si>
  <si>
    <t>Thiết kế mô hình đồ thị: nút, quan hệ, ràng buộc (Phụ lục B)</t>
  </si>
  <si>
    <t>Có sơ đồ mô hình; ràng buộc duy nhất cho tên hình; được nhóm duyệt</t>
  </si>
  <si>
    <t>Phụ lục B</t>
  </si>
  <si>
    <t>Mô hình ở Phụ lục B của hồ sơ đặc tả; ràng buộc duy nhất cho Hinh.id và Lop.so</t>
  </si>
  <si>
    <t>H2</t>
  </si>
  <si>
    <t>Nhập dữ liệu 8 hình cùng tính chất, dấu hiệu, công thức vào Neo4j bằng Cypher hoặc CSV</t>
  </si>
  <si>
    <t>Script nhập chạy lại được; số nút và quan hệ khớp bảng nội dung lớp 8</t>
  </si>
  <si>
    <t>import_neo4j.py; cần xác nhận số nút, quan hệ khi chạy với Neo4j thật</t>
  </si>
  <si>
    <t>H3</t>
  </si>
  <si>
    <t>Truy vấn quan hệ bao hàm để dựng sơ đồ các hình</t>
  </si>
  <si>
    <t>Trả về đúng chuỗi hình vuông → chữ nhật → bình hành → hình thang → tứ giác</t>
  </si>
  <si>
    <t>Truy vấn quan_he trong repo.py</t>
  </si>
  <si>
    <t>H4</t>
  </si>
  <si>
    <t>Truy vấn gợi ý hình theo đặc điểm và "cần thêm điều kiện gì" để thành hình khác</t>
  </si>
  <si>
    <t>Trả về hình phù hợp và điều kiện còn thiếu; có kiểm thử với ít nhất 10 trường hợp</t>
  </si>
  <si>
    <t>FR-05, FR-07</t>
  </si>
  <si>
    <t>Truy vấn goi_y; chưa có bộ kiểm thử 10 trường hợp</t>
  </si>
  <si>
    <t>H5</t>
  </si>
  <si>
    <t>Gắn quan hệ HOC_O giữa hình và lớp để lọc nội dung theo lớp</t>
  </si>
  <si>
    <t>Truy vấn theo lớp 6–12 trả đúng danh sách hình và mức độ</t>
  </si>
  <si>
    <t>Quan hệ HOC_O tạo trong import_neo4j.py, truy vấn hinh_theo_lop</t>
  </si>
  <si>
    <t>H6</t>
  </si>
  <si>
    <t>Lưu kết quả làm bài của học sinh dưới dạng quan hệ TRA_LOI</t>
  </si>
  <si>
    <t>Thống kê được điểm theo hình và theo lớp bằng một truy vấn</t>
  </si>
  <si>
    <t>H7</t>
  </si>
  <si>
    <t>Trực quan hóa đồ thị kiến thức cho học sinh</t>
  </si>
  <si>
    <t>Hiển thị đồ thị các hình và quan hệ; bấm vào nút mở thẻ kiến thức</t>
  </si>
  <si>
    <t>H8</t>
  </si>
  <si>
    <t>Thiết lập Neo4j (Docker hoặc AuraDB), sao lưu và phân quyền truy cập</t>
  </si>
  <si>
    <t>Môi trường chạy được từ README; có bản sao lưu; tài khoản ứng dụng chỉ đọc/ghi cần thiết</t>
  </si>
  <si>
    <t>Có docker-compose.yml và hướng dẫn AuraDB; chưa có sao lưu, phân quyền</t>
  </si>
  <si>
    <t>Tổng hợp Product Backlog – Công cụ học tứ giác lớp 6–12</t>
  </si>
  <si>
    <t>Theo Epic</t>
  </si>
  <si>
    <t>Theo trạng thái</t>
  </si>
  <si>
    <t>Số story</t>
  </si>
  <si>
    <t>Tổng story point</t>
  </si>
  <si>
    <t>Tổng</t>
  </si>
  <si>
    <t>Kiểm tra khớp với bảng backlog</t>
  </si>
  <si>
    <t>Theo mức ưu tiên (MoSCoW)</t>
  </si>
  <si>
    <t>M – Must (bắt buộc)</t>
  </si>
  <si>
    <t>S – Should (nên có)</t>
  </si>
  <si>
    <t>C – Could (có thể có)</t>
  </si>
  <si>
    <t>Theo bản phát hành</t>
  </si>
  <si>
    <t>MVP (Sprint 1–4)</t>
  </si>
  <si>
    <t>Bản 1.1 (Sprint 5–6)</t>
  </si>
  <si>
    <t>Bản 1.2 (Sprint 7–8)</t>
  </si>
  <si>
    <t>Bản 2.0 (Sprint 9+)</t>
  </si>
  <si>
    <t>Story point theo sprint</t>
  </si>
  <si>
    <t>Liên tục (không theo sprint)</t>
  </si>
  <si>
    <t>Ghi chú:</t>
  </si>
  <si>
    <t>- Story point và sprint là ước lượng ban đầu, cần đội phát triển xác nhận khi lập kế hoạch sprint.</t>
  </si>
  <si>
    <t>- Ưu tiên theo MoSCoW: M = Must, S = Should, C = Could.</t>
  </si>
  <si>
    <t>- Mã FR, BR, Phụ lục B tham chiếu đến Hồ sơ đặc tả (file 1_Ho-so-dac-ta.docx).</t>
  </si>
  <si>
    <t>- Để thêm story mới, chèn dòng vào bảng Product Backlog; các bảng tổng hợp tự cập nhật (tính đến dòng 200).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</si>
</sst>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theme="1"/>
      <name val="Calibri"/>
      <charset val="1"/>
    </font>
    <font>
      <b/>
      <sz val="13"/>
      <color rgb="FF1F3864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7" style="1" customWidth="1"/>
    <col min="2" max="2" width="30" style="1" customWidth="1"/>
    <col min="3" max="3" width="55" style="1" customWidth="1"/>
    <col min="4" max="4" width="50" style="1" customWidth="1"/>
    <col min="5" max="6" width="9" style="1" customWidth="1"/>
    <col min="7" max="7" width="10" style="1" customWidth="1"/>
    <col min="8" max="8" width="11" style="1" customWidth="1"/>
    <col min="9" max="9" width="16" style="1" customWidth="1"/>
    <col min="10" max="10" width="12" style="1" customWidth="1"/>
    <col min="11" max="11" width="50" customWidth="1"/>
  </cols>
  <sheetData>
    <row r="1" ht="31.5" customHeight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</row>
    <row r="2" ht="23.25" customHeight="1" spans="1:11">
      <c r="A2" s="17" t="s">
        <v>11</v>
      </c>
      <c r="B2" s="18" t="s">
        <v>12</v>
      </c>
      <c r="C2" s="18" t="s">
        <v>13</v>
      </c>
      <c r="D2" s="18" t="s">
        <v>14</v>
      </c>
      <c r="E2" s="19" t="s">
        <v>15</v>
      </c>
      <c r="F2" s="17">
        <v>3</v>
      </c>
      <c r="G2" s="17">
        <v>1</v>
      </c>
      <c r="H2" s="17" t="s">
        <v>16</v>
      </c>
      <c r="I2" s="18" t="s">
        <v>17</v>
      </c>
      <c r="J2" s="17" t="s">
        <v>18</v>
      </c>
      <c r="K2" s="20" t="s">
        <v>19</v>
      </c>
    </row>
    <row r="3" ht="23.25" customHeight="1" spans="1:11">
      <c r="A3" s="17" t="s">
        <v>20</v>
      </c>
      <c r="B3" s="18" t="s">
        <v>12</v>
      </c>
      <c r="C3" s="18" t="s">
        <v>21</v>
      </c>
      <c r="D3" s="18" t="s">
        <v>22</v>
      </c>
      <c r="E3" s="19" t="s">
        <v>15</v>
      </c>
      <c r="F3" s="17">
        <v>8</v>
      </c>
      <c r="G3" s="17">
        <v>1</v>
      </c>
      <c r="H3" s="17" t="s">
        <v>16</v>
      </c>
      <c r="I3" s="18" t="s">
        <v>23</v>
      </c>
      <c r="J3" s="17" t="s">
        <v>18</v>
      </c>
      <c r="K3" s="20" t="s">
        <v>24</v>
      </c>
    </row>
    <row r="4" ht="23.25" customHeight="1" spans="1:11">
      <c r="A4" s="17" t="s">
        <v>25</v>
      </c>
      <c r="B4" s="18" t="s">
        <v>12</v>
      </c>
      <c r="C4" s="18" t="s">
        <v>26</v>
      </c>
      <c r="D4" s="18" t="s">
        <v>27</v>
      </c>
      <c r="E4" s="19" t="s">
        <v>15</v>
      </c>
      <c r="F4" s="17">
        <v>5</v>
      </c>
      <c r="G4" s="17">
        <v>1</v>
      </c>
      <c r="H4" s="17" t="s">
        <v>16</v>
      </c>
      <c r="I4" s="18" t="s">
        <v>28</v>
      </c>
      <c r="J4" s="17" t="s">
        <v>29</v>
      </c>
      <c r="K4" s="20"/>
    </row>
    <row r="5" ht="23.25" customHeight="1" spans="1:11">
      <c r="A5" s="17" t="s">
        <v>30</v>
      </c>
      <c r="B5" s="18" t="s">
        <v>12</v>
      </c>
      <c r="C5" s="18" t="s">
        <v>31</v>
      </c>
      <c r="D5" s="18" t="s">
        <v>32</v>
      </c>
      <c r="E5" s="19" t="s">
        <v>15</v>
      </c>
      <c r="F5" s="17">
        <v>5</v>
      </c>
      <c r="G5" s="17">
        <v>2</v>
      </c>
      <c r="H5" s="17" t="s">
        <v>16</v>
      </c>
      <c r="I5" s="18" t="s">
        <v>33</v>
      </c>
      <c r="J5" s="17" t="s">
        <v>18</v>
      </c>
      <c r="K5" s="20" t="s">
        <v>34</v>
      </c>
    </row>
    <row r="6" ht="23.25" customHeight="1" spans="1:11">
      <c r="A6" s="17" t="s">
        <v>35</v>
      </c>
      <c r="B6" s="18" t="s">
        <v>12</v>
      </c>
      <c r="C6" s="18" t="s">
        <v>36</v>
      </c>
      <c r="D6" s="18" t="s">
        <v>37</v>
      </c>
      <c r="E6" s="21" t="s">
        <v>38</v>
      </c>
      <c r="F6" s="17">
        <v>3</v>
      </c>
      <c r="G6" s="17">
        <v>2</v>
      </c>
      <c r="H6" s="17" t="s">
        <v>16</v>
      </c>
      <c r="I6" s="18" t="s">
        <v>39</v>
      </c>
      <c r="J6" s="17" t="s">
        <v>29</v>
      </c>
      <c r="K6" s="20"/>
    </row>
    <row r="7" ht="15" customHeight="1" spans="1:11">
      <c r="A7" s="17" t="s">
        <v>40</v>
      </c>
      <c r="B7" s="18" t="s">
        <v>12</v>
      </c>
      <c r="C7" s="18" t="s">
        <v>41</v>
      </c>
      <c r="D7" s="18" t="s">
        <v>42</v>
      </c>
      <c r="E7" s="22" t="s">
        <v>43</v>
      </c>
      <c r="F7" s="17">
        <v>2</v>
      </c>
      <c r="G7" s="17">
        <v>5</v>
      </c>
      <c r="H7" s="17" t="s">
        <v>44</v>
      </c>
      <c r="I7" s="18" t="s">
        <v>23</v>
      </c>
      <c r="J7" s="17" t="s">
        <v>29</v>
      </c>
      <c r="K7" s="20"/>
    </row>
    <row r="8" ht="15" customHeight="1" spans="1:11">
      <c r="A8" s="17" t="s">
        <v>45</v>
      </c>
      <c r="B8" s="18" t="s">
        <v>46</v>
      </c>
      <c r="C8" s="18" t="s">
        <v>47</v>
      </c>
      <c r="D8" s="18" t="s">
        <v>48</v>
      </c>
      <c r="E8" s="21" t="s">
        <v>38</v>
      </c>
      <c r="F8" s="17">
        <v>3</v>
      </c>
      <c r="G8" s="17">
        <v>2</v>
      </c>
      <c r="H8" s="17" t="s">
        <v>16</v>
      </c>
      <c r="I8" s="18" t="s">
        <v>39</v>
      </c>
      <c r="J8" s="17" t="s">
        <v>29</v>
      </c>
      <c r="K8" s="20"/>
    </row>
    <row r="9" ht="15" customHeight="1" spans="1:11">
      <c r="A9" s="17" t="s">
        <v>49</v>
      </c>
      <c r="B9" s="18" t="s">
        <v>46</v>
      </c>
      <c r="C9" s="18" t="s">
        <v>50</v>
      </c>
      <c r="D9" s="18" t="s">
        <v>51</v>
      </c>
      <c r="E9" s="21" t="s">
        <v>38</v>
      </c>
      <c r="F9" s="17">
        <v>5</v>
      </c>
      <c r="G9" s="17">
        <v>5</v>
      </c>
      <c r="H9" s="17" t="s">
        <v>44</v>
      </c>
      <c r="I9" s="18" t="s">
        <v>39</v>
      </c>
      <c r="J9" s="17" t="s">
        <v>29</v>
      </c>
      <c r="K9" s="20"/>
    </row>
    <row r="10" ht="23.25" customHeight="1" spans="1:11">
      <c r="A10" s="17" t="s">
        <v>52</v>
      </c>
      <c r="B10" s="18" t="s">
        <v>46</v>
      </c>
      <c r="C10" s="18" t="s">
        <v>53</v>
      </c>
      <c r="D10" s="18" t="s">
        <v>54</v>
      </c>
      <c r="E10" s="21" t="s">
        <v>38</v>
      </c>
      <c r="F10" s="17">
        <v>8</v>
      </c>
      <c r="G10" s="17">
        <v>5</v>
      </c>
      <c r="H10" s="17" t="s">
        <v>44</v>
      </c>
      <c r="I10" s="18" t="s">
        <v>55</v>
      </c>
      <c r="J10" s="17" t="s">
        <v>29</v>
      </c>
      <c r="K10" s="20"/>
    </row>
    <row r="11" ht="23.25" customHeight="1" spans="1:11">
      <c r="A11" s="17" t="s">
        <v>56</v>
      </c>
      <c r="B11" s="18" t="s">
        <v>46</v>
      </c>
      <c r="C11" s="18" t="s">
        <v>57</v>
      </c>
      <c r="D11" s="18" t="s">
        <v>58</v>
      </c>
      <c r="E11" s="21" t="s">
        <v>38</v>
      </c>
      <c r="F11" s="17">
        <v>13</v>
      </c>
      <c r="G11" s="17">
        <v>6</v>
      </c>
      <c r="H11" s="17" t="s">
        <v>44</v>
      </c>
      <c r="I11" s="18" t="s">
        <v>28</v>
      </c>
      <c r="J11" s="17" t="s">
        <v>29</v>
      </c>
      <c r="K11" s="20"/>
    </row>
    <row r="12" ht="23.25" customHeight="1" spans="1:11">
      <c r="A12" s="17" t="s">
        <v>59</v>
      </c>
      <c r="B12" s="18" t="s">
        <v>60</v>
      </c>
      <c r="C12" s="18" t="s">
        <v>61</v>
      </c>
      <c r="D12" s="18" t="s">
        <v>62</v>
      </c>
      <c r="E12" s="19" t="s">
        <v>15</v>
      </c>
      <c r="F12" s="17">
        <v>8</v>
      </c>
      <c r="G12" s="17">
        <v>2</v>
      </c>
      <c r="H12" s="17" t="s">
        <v>16</v>
      </c>
      <c r="I12" s="18" t="s">
        <v>63</v>
      </c>
      <c r="J12" s="17" t="s">
        <v>64</v>
      </c>
      <c r="K12" s="20" t="s">
        <v>65</v>
      </c>
    </row>
    <row r="13" ht="15" customHeight="1" spans="1:11">
      <c r="A13" s="17" t="s">
        <v>66</v>
      </c>
      <c r="B13" s="18" t="s">
        <v>60</v>
      </c>
      <c r="C13" s="18" t="s">
        <v>67</v>
      </c>
      <c r="D13" s="18" t="s">
        <v>68</v>
      </c>
      <c r="E13" s="19" t="s">
        <v>15</v>
      </c>
      <c r="F13" s="17">
        <v>5</v>
      </c>
      <c r="G13" s="17">
        <v>2</v>
      </c>
      <c r="H13" s="17" t="s">
        <v>16</v>
      </c>
      <c r="I13" s="18" t="s">
        <v>69</v>
      </c>
      <c r="J13" s="17" t="s">
        <v>29</v>
      </c>
      <c r="K13" s="20"/>
    </row>
    <row r="14" ht="15" customHeight="1" spans="1:11">
      <c r="A14" s="17" t="s">
        <v>70</v>
      </c>
      <c r="B14" s="18" t="s">
        <v>60</v>
      </c>
      <c r="C14" s="18" t="s">
        <v>71</v>
      </c>
      <c r="D14" s="18" t="s">
        <v>68</v>
      </c>
      <c r="E14" s="19" t="s">
        <v>15</v>
      </c>
      <c r="F14" s="17">
        <v>5</v>
      </c>
      <c r="G14" s="17">
        <v>3</v>
      </c>
      <c r="H14" s="17" t="s">
        <v>16</v>
      </c>
      <c r="I14" s="18" t="s">
        <v>69</v>
      </c>
      <c r="J14" s="17" t="s">
        <v>64</v>
      </c>
      <c r="K14" s="20" t="s">
        <v>72</v>
      </c>
    </row>
    <row r="15" ht="23.25" customHeight="1" spans="1:11">
      <c r="A15" s="17" t="s">
        <v>73</v>
      </c>
      <c r="B15" s="18" t="s">
        <v>60</v>
      </c>
      <c r="C15" s="18" t="s">
        <v>74</v>
      </c>
      <c r="D15" s="18" t="s">
        <v>75</v>
      </c>
      <c r="E15" s="21" t="s">
        <v>38</v>
      </c>
      <c r="F15" s="17">
        <v>5</v>
      </c>
      <c r="G15" s="17">
        <v>5</v>
      </c>
      <c r="H15" s="17" t="s">
        <v>44</v>
      </c>
      <c r="I15" s="18" t="s">
        <v>69</v>
      </c>
      <c r="J15" s="17" t="s">
        <v>29</v>
      </c>
      <c r="K15" s="20"/>
    </row>
    <row r="16" ht="23.25" customHeight="1" spans="1:11">
      <c r="A16" s="17" t="s">
        <v>76</v>
      </c>
      <c r="B16" s="18" t="s">
        <v>60</v>
      </c>
      <c r="C16" s="18" t="s">
        <v>77</v>
      </c>
      <c r="D16" s="18" t="s">
        <v>78</v>
      </c>
      <c r="E16" s="19" t="s">
        <v>15</v>
      </c>
      <c r="F16" s="17">
        <v>8</v>
      </c>
      <c r="G16" s="17">
        <v>3</v>
      </c>
      <c r="H16" s="17" t="s">
        <v>16</v>
      </c>
      <c r="I16" s="18" t="s">
        <v>69</v>
      </c>
      <c r="J16" s="17" t="s">
        <v>64</v>
      </c>
      <c r="K16" s="20" t="s">
        <v>79</v>
      </c>
    </row>
    <row r="17" ht="15" customHeight="1" spans="1:11">
      <c r="A17" s="17" t="s">
        <v>80</v>
      </c>
      <c r="B17" s="18" t="s">
        <v>60</v>
      </c>
      <c r="C17" s="18" t="s">
        <v>81</v>
      </c>
      <c r="D17" s="18" t="s">
        <v>82</v>
      </c>
      <c r="E17" s="21" t="s">
        <v>38</v>
      </c>
      <c r="F17" s="17">
        <v>5</v>
      </c>
      <c r="G17" s="17">
        <v>5</v>
      </c>
      <c r="H17" s="17" t="s">
        <v>44</v>
      </c>
      <c r="I17" s="18" t="s">
        <v>83</v>
      </c>
      <c r="J17" s="17" t="s">
        <v>29</v>
      </c>
      <c r="K17" s="20"/>
    </row>
    <row r="18" ht="15" customHeight="1" spans="1:11">
      <c r="A18" s="17" t="s">
        <v>84</v>
      </c>
      <c r="B18" s="18" t="s">
        <v>60</v>
      </c>
      <c r="C18" s="18" t="s">
        <v>85</v>
      </c>
      <c r="D18" s="18" t="s">
        <v>86</v>
      </c>
      <c r="E18" s="21" t="s">
        <v>38</v>
      </c>
      <c r="F18" s="17">
        <v>8</v>
      </c>
      <c r="G18" s="17">
        <v>6</v>
      </c>
      <c r="H18" s="17" t="s">
        <v>44</v>
      </c>
      <c r="I18" s="18" t="s">
        <v>87</v>
      </c>
      <c r="J18" s="17" t="s">
        <v>29</v>
      </c>
      <c r="K18" s="20"/>
    </row>
    <row r="19" ht="15" customHeight="1" spans="1:11">
      <c r="A19" s="17" t="s">
        <v>88</v>
      </c>
      <c r="B19" s="18" t="s">
        <v>60</v>
      </c>
      <c r="C19" s="18" t="s">
        <v>89</v>
      </c>
      <c r="D19" s="18" t="s">
        <v>90</v>
      </c>
      <c r="E19" s="19" t="s">
        <v>15</v>
      </c>
      <c r="F19" s="17">
        <v>8</v>
      </c>
      <c r="G19" s="17">
        <v>4</v>
      </c>
      <c r="H19" s="17" t="s">
        <v>16</v>
      </c>
      <c r="I19" s="18" t="s">
        <v>91</v>
      </c>
      <c r="J19" s="17" t="s">
        <v>29</v>
      </c>
      <c r="K19" s="20"/>
    </row>
    <row r="20" ht="15" customHeight="1" spans="1:11">
      <c r="A20" s="17" t="s">
        <v>92</v>
      </c>
      <c r="B20" s="18" t="s">
        <v>93</v>
      </c>
      <c r="C20" s="18" t="s">
        <v>94</v>
      </c>
      <c r="D20" s="18" t="s">
        <v>95</v>
      </c>
      <c r="E20" s="21" t="s">
        <v>38</v>
      </c>
      <c r="F20" s="17">
        <v>5</v>
      </c>
      <c r="G20" s="17">
        <v>5</v>
      </c>
      <c r="H20" s="17" t="s">
        <v>44</v>
      </c>
      <c r="I20" s="18" t="s">
        <v>96</v>
      </c>
      <c r="J20" s="17" t="s">
        <v>29</v>
      </c>
      <c r="K20" s="20"/>
    </row>
    <row r="21" ht="15" customHeight="1" spans="1:11">
      <c r="A21" s="17" t="s">
        <v>97</v>
      </c>
      <c r="B21" s="18" t="s">
        <v>93</v>
      </c>
      <c r="C21" s="18" t="s">
        <v>98</v>
      </c>
      <c r="D21" s="18" t="s">
        <v>99</v>
      </c>
      <c r="E21" s="21" t="s">
        <v>38</v>
      </c>
      <c r="F21" s="17">
        <v>3</v>
      </c>
      <c r="G21" s="17">
        <v>5</v>
      </c>
      <c r="H21" s="17" t="s">
        <v>44</v>
      </c>
      <c r="I21" s="18" t="s">
        <v>96</v>
      </c>
      <c r="J21" s="17" t="s">
        <v>29</v>
      </c>
      <c r="K21" s="20"/>
    </row>
    <row r="22" ht="15" customHeight="1" spans="1:11">
      <c r="A22" s="17" t="s">
        <v>100</v>
      </c>
      <c r="B22" s="18" t="s">
        <v>93</v>
      </c>
      <c r="C22" s="18" t="s">
        <v>101</v>
      </c>
      <c r="D22" s="18" t="s">
        <v>102</v>
      </c>
      <c r="E22" s="22" t="s">
        <v>43</v>
      </c>
      <c r="F22" s="17">
        <v>5</v>
      </c>
      <c r="G22" s="17">
        <v>6</v>
      </c>
      <c r="H22" s="17" t="s">
        <v>44</v>
      </c>
      <c r="I22" s="18" t="s">
        <v>96</v>
      </c>
      <c r="J22" s="17" t="s">
        <v>29</v>
      </c>
      <c r="K22" s="20"/>
    </row>
    <row r="23" ht="15" customHeight="1" spans="1:11">
      <c r="A23" s="17" t="s">
        <v>103</v>
      </c>
      <c r="B23" s="18" t="s">
        <v>104</v>
      </c>
      <c r="C23" s="18" t="s">
        <v>105</v>
      </c>
      <c r="D23" s="18" t="s">
        <v>106</v>
      </c>
      <c r="E23" s="21" t="s">
        <v>38</v>
      </c>
      <c r="F23" s="17">
        <v>13</v>
      </c>
      <c r="G23" s="17">
        <v>5</v>
      </c>
      <c r="H23" s="17" t="s">
        <v>44</v>
      </c>
      <c r="I23" s="18" t="s">
        <v>107</v>
      </c>
      <c r="J23" s="17" t="s">
        <v>29</v>
      </c>
      <c r="K23" s="20"/>
    </row>
    <row r="24" ht="15" customHeight="1" spans="1:11">
      <c r="A24" s="17" t="s">
        <v>108</v>
      </c>
      <c r="B24" s="18" t="s">
        <v>104</v>
      </c>
      <c r="C24" s="18" t="s">
        <v>109</v>
      </c>
      <c r="D24" s="18" t="s">
        <v>110</v>
      </c>
      <c r="E24" s="22" t="s">
        <v>43</v>
      </c>
      <c r="F24" s="17">
        <v>8</v>
      </c>
      <c r="G24" s="17">
        <v>9</v>
      </c>
      <c r="H24" s="17" t="s">
        <v>111</v>
      </c>
      <c r="I24" s="18" t="s">
        <v>112</v>
      </c>
      <c r="J24" s="17" t="s">
        <v>29</v>
      </c>
      <c r="K24" s="20"/>
    </row>
    <row r="25" ht="23.25" customHeight="1" spans="1:11">
      <c r="A25" s="17" t="s">
        <v>113</v>
      </c>
      <c r="B25" s="18" t="s">
        <v>104</v>
      </c>
      <c r="C25" s="18" t="s">
        <v>114</v>
      </c>
      <c r="D25" s="18" t="s">
        <v>115</v>
      </c>
      <c r="E25" s="22" t="s">
        <v>43</v>
      </c>
      <c r="F25" s="17">
        <v>13</v>
      </c>
      <c r="G25" s="17">
        <v>10</v>
      </c>
      <c r="H25" s="17" t="s">
        <v>111</v>
      </c>
      <c r="I25" s="18" t="s">
        <v>112</v>
      </c>
      <c r="J25" s="17" t="s">
        <v>29</v>
      </c>
      <c r="K25" s="20"/>
    </row>
    <row r="26" ht="15" customHeight="1" spans="1:11">
      <c r="A26" s="17" t="s">
        <v>116</v>
      </c>
      <c r="B26" s="18" t="s">
        <v>104</v>
      </c>
      <c r="C26" s="18" t="s">
        <v>117</v>
      </c>
      <c r="D26" s="18" t="s">
        <v>118</v>
      </c>
      <c r="E26" s="22" t="s">
        <v>43</v>
      </c>
      <c r="F26" s="17">
        <v>13</v>
      </c>
      <c r="G26" s="17">
        <v>10</v>
      </c>
      <c r="H26" s="17" t="s">
        <v>111</v>
      </c>
      <c r="I26" s="18" t="s">
        <v>112</v>
      </c>
      <c r="J26" s="17" t="s">
        <v>29</v>
      </c>
      <c r="K26" s="20"/>
    </row>
    <row r="27" ht="15" customHeight="1" spans="1:11">
      <c r="A27" s="17" t="s">
        <v>119</v>
      </c>
      <c r="B27" s="18" t="s">
        <v>120</v>
      </c>
      <c r="C27" s="18" t="s">
        <v>121</v>
      </c>
      <c r="D27" s="18" t="s">
        <v>122</v>
      </c>
      <c r="E27" s="19" t="s">
        <v>15</v>
      </c>
      <c r="F27" s="17">
        <v>5</v>
      </c>
      <c r="G27" s="17">
        <v>1</v>
      </c>
      <c r="H27" s="17" t="s">
        <v>16</v>
      </c>
      <c r="I27" s="18" t="s">
        <v>123</v>
      </c>
      <c r="J27" s="17" t="s">
        <v>29</v>
      </c>
      <c r="K27" s="20"/>
    </row>
    <row r="28" ht="15" customHeight="1" spans="1:11">
      <c r="A28" s="17" t="s">
        <v>124</v>
      </c>
      <c r="B28" s="18" t="s">
        <v>120</v>
      </c>
      <c r="C28" s="18" t="s">
        <v>125</v>
      </c>
      <c r="D28" s="18" t="s">
        <v>126</v>
      </c>
      <c r="E28" s="19" t="s">
        <v>15</v>
      </c>
      <c r="F28" s="17">
        <v>8</v>
      </c>
      <c r="G28" s="17">
        <v>1</v>
      </c>
      <c r="H28" s="17" t="s">
        <v>16</v>
      </c>
      <c r="I28" s="18" t="s">
        <v>123</v>
      </c>
      <c r="J28" s="17" t="s">
        <v>29</v>
      </c>
      <c r="K28" s="20"/>
    </row>
    <row r="29" ht="15" customHeight="1" spans="1:11">
      <c r="A29" s="17" t="s">
        <v>127</v>
      </c>
      <c r="B29" s="18" t="s">
        <v>120</v>
      </c>
      <c r="C29" s="18" t="s">
        <v>128</v>
      </c>
      <c r="D29" s="18" t="s">
        <v>129</v>
      </c>
      <c r="E29" s="19" t="s">
        <v>15</v>
      </c>
      <c r="F29" s="17">
        <v>3</v>
      </c>
      <c r="G29" s="17">
        <v>1</v>
      </c>
      <c r="H29" s="17" t="s">
        <v>16</v>
      </c>
      <c r="I29" s="18" t="s">
        <v>123</v>
      </c>
      <c r="J29" s="17" t="s">
        <v>29</v>
      </c>
      <c r="K29" s="20"/>
    </row>
    <row r="30" ht="15" customHeight="1" spans="1:11">
      <c r="A30" s="17" t="s">
        <v>130</v>
      </c>
      <c r="B30" s="18" t="s">
        <v>120</v>
      </c>
      <c r="C30" s="18" t="s">
        <v>131</v>
      </c>
      <c r="D30" s="18" t="s">
        <v>132</v>
      </c>
      <c r="E30" s="19" t="s">
        <v>15</v>
      </c>
      <c r="F30" s="17">
        <v>5</v>
      </c>
      <c r="G30" s="17" t="s">
        <v>133</v>
      </c>
      <c r="H30" s="17" t="s">
        <v>16</v>
      </c>
      <c r="I30" s="18" t="s">
        <v>134</v>
      </c>
      <c r="J30" s="17" t="s">
        <v>29</v>
      </c>
      <c r="K30" s="20"/>
    </row>
    <row r="31" ht="15" customHeight="1" spans="1:11">
      <c r="A31" s="17" t="s">
        <v>135</v>
      </c>
      <c r="B31" s="18" t="s">
        <v>120</v>
      </c>
      <c r="C31" s="18" t="s">
        <v>136</v>
      </c>
      <c r="D31" s="18" t="s">
        <v>137</v>
      </c>
      <c r="E31" s="21" t="s">
        <v>38</v>
      </c>
      <c r="F31" s="17">
        <v>5</v>
      </c>
      <c r="G31" s="17">
        <v>4</v>
      </c>
      <c r="H31" s="17" t="s">
        <v>16</v>
      </c>
      <c r="I31" s="18" t="s">
        <v>123</v>
      </c>
      <c r="J31" s="17" t="s">
        <v>29</v>
      </c>
      <c r="K31" s="20"/>
    </row>
    <row r="32" ht="15" customHeight="1" spans="1:11">
      <c r="A32" s="17" t="s">
        <v>138</v>
      </c>
      <c r="B32" s="18" t="s">
        <v>120</v>
      </c>
      <c r="C32" s="18" t="s">
        <v>139</v>
      </c>
      <c r="D32" s="18" t="s">
        <v>140</v>
      </c>
      <c r="E32" s="19" t="s">
        <v>15</v>
      </c>
      <c r="F32" s="17">
        <v>5</v>
      </c>
      <c r="G32" s="17">
        <v>5</v>
      </c>
      <c r="H32" s="17" t="s">
        <v>44</v>
      </c>
      <c r="I32" s="18" t="s">
        <v>123</v>
      </c>
      <c r="J32" s="17" t="s">
        <v>29</v>
      </c>
      <c r="K32" s="20"/>
    </row>
    <row r="33" ht="23.25" customHeight="1" spans="1:11">
      <c r="A33" s="17" t="s">
        <v>141</v>
      </c>
      <c r="B33" s="18" t="s">
        <v>142</v>
      </c>
      <c r="C33" s="18" t="s">
        <v>143</v>
      </c>
      <c r="D33" s="18" t="s">
        <v>144</v>
      </c>
      <c r="E33" s="19" t="s">
        <v>15</v>
      </c>
      <c r="F33" s="17">
        <v>3</v>
      </c>
      <c r="G33" s="17">
        <v>1</v>
      </c>
      <c r="H33" s="17" t="s">
        <v>16</v>
      </c>
      <c r="I33" s="18" t="s">
        <v>145</v>
      </c>
      <c r="J33" s="17" t="s">
        <v>18</v>
      </c>
      <c r="K33" s="20" t="s">
        <v>146</v>
      </c>
    </row>
    <row r="34" ht="23.25" customHeight="1" spans="1:11">
      <c r="A34" s="17" t="s">
        <v>147</v>
      </c>
      <c r="B34" s="18" t="s">
        <v>142</v>
      </c>
      <c r="C34" s="18" t="s">
        <v>148</v>
      </c>
      <c r="D34" s="18" t="s">
        <v>149</v>
      </c>
      <c r="E34" s="19" t="s">
        <v>15</v>
      </c>
      <c r="F34" s="17">
        <v>5</v>
      </c>
      <c r="G34" s="17">
        <v>1</v>
      </c>
      <c r="H34" s="17" t="s">
        <v>16</v>
      </c>
      <c r="I34" s="18" t="s">
        <v>150</v>
      </c>
      <c r="J34" s="17" t="s">
        <v>64</v>
      </c>
      <c r="K34" s="20" t="s">
        <v>151</v>
      </c>
    </row>
    <row r="35" ht="23.25" customHeight="1" spans="1:11">
      <c r="A35" s="17" t="s">
        <v>152</v>
      </c>
      <c r="B35" s="18" t="s">
        <v>142</v>
      </c>
      <c r="C35" s="18" t="s">
        <v>153</v>
      </c>
      <c r="D35" s="18" t="s">
        <v>154</v>
      </c>
      <c r="E35" s="19" t="s">
        <v>15</v>
      </c>
      <c r="F35" s="17">
        <v>5</v>
      </c>
      <c r="G35" s="17">
        <v>2</v>
      </c>
      <c r="H35" s="17" t="s">
        <v>16</v>
      </c>
      <c r="I35" s="18" t="s">
        <v>155</v>
      </c>
      <c r="J35" s="17" t="s">
        <v>18</v>
      </c>
      <c r="K35" s="20" t="s">
        <v>156</v>
      </c>
    </row>
    <row r="36" ht="15" customHeight="1" spans="1:11">
      <c r="A36" s="17" t="s">
        <v>157</v>
      </c>
      <c r="B36" s="18" t="s">
        <v>142</v>
      </c>
      <c r="C36" s="18" t="s">
        <v>158</v>
      </c>
      <c r="D36" s="18" t="s">
        <v>159</v>
      </c>
      <c r="E36" s="21" t="s">
        <v>38</v>
      </c>
      <c r="F36" s="17">
        <v>5</v>
      </c>
      <c r="G36" s="17">
        <v>5</v>
      </c>
      <c r="H36" s="17" t="s">
        <v>44</v>
      </c>
      <c r="I36" s="18" t="s">
        <v>160</v>
      </c>
      <c r="J36" s="17" t="s">
        <v>64</v>
      </c>
      <c r="K36" s="20" t="s">
        <v>161</v>
      </c>
    </row>
    <row r="37" ht="15" customHeight="1" spans="1:11">
      <c r="A37" s="17" t="s">
        <v>162</v>
      </c>
      <c r="B37" s="18" t="s">
        <v>142</v>
      </c>
      <c r="C37" s="18" t="s">
        <v>163</v>
      </c>
      <c r="D37" s="18" t="s">
        <v>164</v>
      </c>
      <c r="E37" s="19" t="s">
        <v>15</v>
      </c>
      <c r="F37" s="17">
        <v>8</v>
      </c>
      <c r="G37" s="17">
        <v>2</v>
      </c>
      <c r="H37" s="17" t="s">
        <v>16</v>
      </c>
      <c r="I37" s="18" t="s">
        <v>155</v>
      </c>
      <c r="J37" s="17" t="s">
        <v>64</v>
      </c>
      <c r="K37" s="20" t="s">
        <v>165</v>
      </c>
    </row>
    <row r="38" ht="23.25" customHeight="1" spans="1:11">
      <c r="A38" s="17" t="s">
        <v>166</v>
      </c>
      <c r="B38" s="18" t="s">
        <v>142</v>
      </c>
      <c r="C38" s="18" t="s">
        <v>167</v>
      </c>
      <c r="D38" s="18" t="s">
        <v>168</v>
      </c>
      <c r="E38" s="21" t="s">
        <v>38</v>
      </c>
      <c r="F38" s="17">
        <v>5</v>
      </c>
      <c r="G38" s="17">
        <v>5</v>
      </c>
      <c r="H38" s="17" t="s">
        <v>44</v>
      </c>
      <c r="I38" s="18" t="s">
        <v>155</v>
      </c>
      <c r="J38" s="17" t="s">
        <v>29</v>
      </c>
      <c r="K38" s="20"/>
    </row>
    <row r="39" ht="15" customHeight="1" spans="1:11">
      <c r="A39" s="17" t="s">
        <v>169</v>
      </c>
      <c r="B39" s="18" t="s">
        <v>142</v>
      </c>
      <c r="C39" s="18" t="s">
        <v>170</v>
      </c>
      <c r="D39" s="18" t="s">
        <v>171</v>
      </c>
      <c r="E39" s="19" t="s">
        <v>15</v>
      </c>
      <c r="F39" s="17">
        <v>3</v>
      </c>
      <c r="G39" s="17">
        <v>1</v>
      </c>
      <c r="H39" s="17" t="s">
        <v>16</v>
      </c>
      <c r="I39" s="18" t="s">
        <v>155</v>
      </c>
      <c r="J39" s="17" t="s">
        <v>18</v>
      </c>
      <c r="K39" s="20" t="s">
        <v>172</v>
      </c>
    </row>
    <row r="40" ht="15" customHeight="1" spans="1:11">
      <c r="A40" s="17" t="s">
        <v>173</v>
      </c>
      <c r="B40" s="18" t="s">
        <v>142</v>
      </c>
      <c r="C40" s="18" t="s">
        <v>174</v>
      </c>
      <c r="D40" s="18" t="s">
        <v>175</v>
      </c>
      <c r="E40" s="21" t="s">
        <v>38</v>
      </c>
      <c r="F40" s="17">
        <v>8</v>
      </c>
      <c r="G40" s="17">
        <v>6</v>
      </c>
      <c r="H40" s="17" t="s">
        <v>44</v>
      </c>
      <c r="I40" s="18" t="s">
        <v>176</v>
      </c>
      <c r="J40" s="17" t="s">
        <v>64</v>
      </c>
      <c r="K40" s="20" t="s">
        <v>177</v>
      </c>
    </row>
    <row r="41" ht="15" customHeight="1" spans="1:11">
      <c r="A41" s="17" t="s">
        <v>178</v>
      </c>
      <c r="B41" s="18" t="s">
        <v>142</v>
      </c>
      <c r="C41" s="18" t="s">
        <v>179</v>
      </c>
      <c r="D41" s="18" t="s">
        <v>180</v>
      </c>
      <c r="E41" s="22" t="s">
        <v>43</v>
      </c>
      <c r="F41" s="17">
        <v>8</v>
      </c>
      <c r="G41" s="17">
        <v>7</v>
      </c>
      <c r="H41" s="17" t="s">
        <v>181</v>
      </c>
      <c r="I41" s="18" t="s">
        <v>155</v>
      </c>
      <c r="J41" s="17" t="s">
        <v>29</v>
      </c>
      <c r="K41" s="20"/>
    </row>
    <row r="42" ht="15" customHeight="1" spans="1:11">
      <c r="A42" s="17" t="s">
        <v>182</v>
      </c>
      <c r="B42" s="18" t="s">
        <v>142</v>
      </c>
      <c r="C42" s="18" t="s">
        <v>183</v>
      </c>
      <c r="D42" s="18" t="s">
        <v>184</v>
      </c>
      <c r="E42" s="22" t="s">
        <v>43</v>
      </c>
      <c r="F42" s="17">
        <v>8</v>
      </c>
      <c r="G42" s="17">
        <v>8</v>
      </c>
      <c r="H42" s="17" t="s">
        <v>181</v>
      </c>
      <c r="I42" s="18" t="s">
        <v>155</v>
      </c>
      <c r="J42" s="17" t="s">
        <v>29</v>
      </c>
      <c r="K42" s="20"/>
    </row>
    <row r="43" ht="23.25" customHeight="1" spans="1:11">
      <c r="A43" s="17" t="s">
        <v>185</v>
      </c>
      <c r="B43" s="18" t="s">
        <v>142</v>
      </c>
      <c r="C43" s="18" t="s">
        <v>186</v>
      </c>
      <c r="D43" s="18" t="s">
        <v>187</v>
      </c>
      <c r="E43" s="22" t="s">
        <v>43</v>
      </c>
      <c r="F43" s="17">
        <v>8</v>
      </c>
      <c r="G43" s="17">
        <v>8</v>
      </c>
      <c r="H43" s="17" t="s">
        <v>181</v>
      </c>
      <c r="I43" s="18" t="s">
        <v>176</v>
      </c>
      <c r="J43" s="17" t="s">
        <v>29</v>
      </c>
      <c r="K43" s="20"/>
    </row>
    <row r="44" ht="23.25" customHeight="1" spans="1:11">
      <c r="A44" s="17" t="s">
        <v>188</v>
      </c>
      <c r="B44" s="18" t="s">
        <v>142</v>
      </c>
      <c r="C44" s="18" t="s">
        <v>189</v>
      </c>
      <c r="D44" s="18" t="s">
        <v>190</v>
      </c>
      <c r="E44" s="21" t="s">
        <v>38</v>
      </c>
      <c r="F44" s="17">
        <v>5</v>
      </c>
      <c r="G44" s="17">
        <v>5</v>
      </c>
      <c r="H44" s="17" t="s">
        <v>44</v>
      </c>
      <c r="I44" s="18" t="s">
        <v>191</v>
      </c>
      <c r="J44" s="17" t="s">
        <v>29</v>
      </c>
      <c r="K44" s="20"/>
    </row>
    <row r="45" ht="15" customHeight="1" spans="1:11">
      <c r="A45" s="17" t="s">
        <v>192</v>
      </c>
      <c r="B45" s="18" t="s">
        <v>142</v>
      </c>
      <c r="C45" s="18" t="s">
        <v>193</v>
      </c>
      <c r="D45" s="18" t="s">
        <v>194</v>
      </c>
      <c r="E45" s="22" t="s">
        <v>43</v>
      </c>
      <c r="F45" s="17">
        <v>5</v>
      </c>
      <c r="G45" s="17">
        <v>6</v>
      </c>
      <c r="H45" s="17" t="s">
        <v>44</v>
      </c>
      <c r="I45" s="18" t="s">
        <v>195</v>
      </c>
      <c r="J45" s="17" t="s">
        <v>29</v>
      </c>
      <c r="K45" s="20"/>
    </row>
    <row r="46" ht="23.25" customHeight="1" spans="1:11">
      <c r="A46" s="17" t="s">
        <v>196</v>
      </c>
      <c r="B46" s="18" t="s">
        <v>142</v>
      </c>
      <c r="C46" s="18" t="s">
        <v>197</v>
      </c>
      <c r="D46" s="18" t="s">
        <v>198</v>
      </c>
      <c r="E46" s="19" t="s">
        <v>15</v>
      </c>
      <c r="F46" s="17">
        <v>5</v>
      </c>
      <c r="G46" s="17" t="s">
        <v>133</v>
      </c>
      <c r="H46" s="17" t="s">
        <v>16</v>
      </c>
      <c r="I46" s="18" t="s">
        <v>134</v>
      </c>
      <c r="J46" s="17" t="s">
        <v>29</v>
      </c>
      <c r="K46" s="20"/>
    </row>
    <row r="47" ht="23.25" customHeight="1" spans="1:11">
      <c r="A47" s="17" t="s">
        <v>199</v>
      </c>
      <c r="B47" s="18" t="s">
        <v>200</v>
      </c>
      <c r="C47" s="18" t="s">
        <v>201</v>
      </c>
      <c r="D47" s="18" t="s">
        <v>202</v>
      </c>
      <c r="E47" s="19" t="s">
        <v>15</v>
      </c>
      <c r="F47" s="17">
        <v>5</v>
      </c>
      <c r="G47" s="17">
        <v>1</v>
      </c>
      <c r="H47" s="17" t="s">
        <v>16</v>
      </c>
      <c r="I47" s="18" t="s">
        <v>203</v>
      </c>
      <c r="J47" s="17" t="s">
        <v>18</v>
      </c>
      <c r="K47" s="20" t="s">
        <v>204</v>
      </c>
    </row>
    <row r="48" ht="23.25" customHeight="1" spans="1:11">
      <c r="A48" s="17" t="s">
        <v>205</v>
      </c>
      <c r="B48" s="18" t="s">
        <v>200</v>
      </c>
      <c r="C48" s="18" t="s">
        <v>206</v>
      </c>
      <c r="D48" s="18" t="s">
        <v>207</v>
      </c>
      <c r="E48" s="19" t="s">
        <v>15</v>
      </c>
      <c r="F48" s="17">
        <v>8</v>
      </c>
      <c r="G48" s="17">
        <v>2</v>
      </c>
      <c r="H48" s="17" t="s">
        <v>16</v>
      </c>
      <c r="I48" s="18" t="s">
        <v>23</v>
      </c>
      <c r="J48" s="17" t="s">
        <v>18</v>
      </c>
      <c r="K48" s="20" t="s">
        <v>208</v>
      </c>
    </row>
    <row r="49" ht="23.25" customHeight="1" spans="1:11">
      <c r="A49" s="17" t="s">
        <v>209</v>
      </c>
      <c r="B49" s="18" t="s">
        <v>200</v>
      </c>
      <c r="C49" s="18" t="s">
        <v>210</v>
      </c>
      <c r="D49" s="18" t="s">
        <v>211</v>
      </c>
      <c r="E49" s="19" t="s">
        <v>15</v>
      </c>
      <c r="F49" s="17">
        <v>3</v>
      </c>
      <c r="G49" s="17">
        <v>2</v>
      </c>
      <c r="H49" s="17" t="s">
        <v>16</v>
      </c>
      <c r="I49" s="18" t="s">
        <v>33</v>
      </c>
      <c r="J49" s="17" t="s">
        <v>18</v>
      </c>
      <c r="K49" s="20" t="s">
        <v>212</v>
      </c>
    </row>
    <row r="50" ht="23.25" customHeight="1" spans="1:11">
      <c r="A50" s="17" t="s">
        <v>213</v>
      </c>
      <c r="B50" s="18" t="s">
        <v>200</v>
      </c>
      <c r="C50" s="18" t="s">
        <v>214</v>
      </c>
      <c r="D50" s="18" t="s">
        <v>215</v>
      </c>
      <c r="E50" s="21" t="s">
        <v>38</v>
      </c>
      <c r="F50" s="17">
        <v>5</v>
      </c>
      <c r="G50" s="17">
        <v>5</v>
      </c>
      <c r="H50" s="17" t="s">
        <v>44</v>
      </c>
      <c r="I50" s="18" t="s">
        <v>216</v>
      </c>
      <c r="J50" s="17" t="s">
        <v>18</v>
      </c>
      <c r="K50" s="20" t="s">
        <v>217</v>
      </c>
    </row>
    <row r="51" ht="15" customHeight="1" spans="1:11">
      <c r="A51" s="17" t="s">
        <v>218</v>
      </c>
      <c r="B51" s="18" t="s">
        <v>200</v>
      </c>
      <c r="C51" s="18" t="s">
        <v>219</v>
      </c>
      <c r="D51" s="18" t="s">
        <v>220</v>
      </c>
      <c r="E51" s="19" t="s">
        <v>15</v>
      </c>
      <c r="F51" s="17">
        <v>3</v>
      </c>
      <c r="G51" s="17">
        <v>2</v>
      </c>
      <c r="H51" s="17" t="s">
        <v>16</v>
      </c>
      <c r="I51" s="18" t="s">
        <v>155</v>
      </c>
      <c r="J51" s="17" t="s">
        <v>18</v>
      </c>
      <c r="K51" s="20" t="s">
        <v>221</v>
      </c>
    </row>
    <row r="52" ht="15" customHeight="1" spans="1:11">
      <c r="A52" s="17" t="s">
        <v>222</v>
      </c>
      <c r="B52" s="18" t="s">
        <v>200</v>
      </c>
      <c r="C52" s="18" t="s">
        <v>223</v>
      </c>
      <c r="D52" s="18" t="s">
        <v>224</v>
      </c>
      <c r="E52" s="21" t="s">
        <v>38</v>
      </c>
      <c r="F52" s="17">
        <v>5</v>
      </c>
      <c r="G52" s="17">
        <v>5</v>
      </c>
      <c r="H52" s="17" t="s">
        <v>44</v>
      </c>
      <c r="I52" s="18" t="s">
        <v>96</v>
      </c>
      <c r="J52" s="17" t="s">
        <v>29</v>
      </c>
      <c r="K52" s="20"/>
    </row>
    <row r="53" ht="23.25" customHeight="1" spans="1:11">
      <c r="A53" s="17" t="s">
        <v>225</v>
      </c>
      <c r="B53" s="18" t="s">
        <v>200</v>
      </c>
      <c r="C53" s="18" t="s">
        <v>226</v>
      </c>
      <c r="D53" s="18" t="s">
        <v>227</v>
      </c>
      <c r="E53" s="22" t="s">
        <v>43</v>
      </c>
      <c r="F53" s="17">
        <v>8</v>
      </c>
      <c r="G53" s="17">
        <v>8</v>
      </c>
      <c r="H53" s="17" t="s">
        <v>181</v>
      </c>
      <c r="I53" s="18" t="s">
        <v>33</v>
      </c>
      <c r="J53" s="17" t="s">
        <v>29</v>
      </c>
      <c r="K53" s="20"/>
    </row>
    <row r="54" ht="23.25" customHeight="1" spans="1:11">
      <c r="A54" s="17" t="s">
        <v>228</v>
      </c>
      <c r="B54" s="18" t="s">
        <v>200</v>
      </c>
      <c r="C54" s="18" t="s">
        <v>229</v>
      </c>
      <c r="D54" s="18" t="s">
        <v>230</v>
      </c>
      <c r="E54" s="19" t="s">
        <v>15</v>
      </c>
      <c r="F54" s="17">
        <v>3</v>
      </c>
      <c r="G54" s="17">
        <v>1</v>
      </c>
      <c r="H54" s="17" t="s">
        <v>16</v>
      </c>
      <c r="I54" s="18" t="s">
        <v>123</v>
      </c>
      <c r="J54" s="17" t="s">
        <v>64</v>
      </c>
      <c r="K54" s="20" t="s">
        <v>231</v>
      </c>
    </row>
  </sheetData>
  <autoFilter xmlns:etc="http://www.wps.cn/officeDocument/2017/etCustomData" ref="A1:K54" etc:filterBottomFollowUsedRange="0">
    <extLst/>
  </autoFilter>
  <dataValidations count="2">
    <dataValidation type="list" sqref="E2:E200">
      <formula1>"M,S,C"</formula1>
    </dataValidation>
    <dataValidation type="list" sqref="J2:J200">
      <formula1>"Chưa làm,Đang làm,Hoàn thành"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workbookViewId="0">
      <selection activeCell="A1" sqref="A1"/>
    </sheetView>
  </sheetViews>
  <sheetFormatPr defaultColWidth="8.67592592592593" defaultRowHeight="14.4" outlineLevelCol="6"/>
  <cols>
    <col min="1" max="1" width="44" style="1" customWidth="1"/>
    <col min="2" max="2" width="14" style="1" customWidth="1"/>
    <col min="3" max="3" width="18" style="1" customWidth="1"/>
    <col min="5" max="5" width="18" customWidth="1"/>
    <col min="6" max="6" width="12" customWidth="1"/>
    <col min="7" max="7" width="18" customWidth="1"/>
  </cols>
  <sheetData>
    <row r="1" ht="15.75" customHeight="1" spans="1:7">
      <c r="A1" s="2" t="s">
        <v>232</v>
      </c>
    </row>
    <row r="3" ht="15" customHeight="1" spans="1:7">
      <c r="A3" s="3" t="s">
        <v>233</v>
      </c>
      <c r="E3" s="4" t="s">
        <v>234</v>
      </c>
    </row>
    <row r="4" ht="15" customHeight="1" spans="1:7">
      <c r="A4" s="5" t="s">
        <v>1</v>
      </c>
      <c r="B4" s="5" t="s">
        <v>235</v>
      </c>
      <c r="C4" s="5" t="s">
        <v>236</v>
      </c>
      <c r="E4" s="6" t="s">
        <v>9</v>
      </c>
      <c r="F4" s="6" t="s">
        <v>235</v>
      </c>
      <c r="G4" s="6" t="s">
        <v>236</v>
      </c>
    </row>
    <row r="5" ht="15" customHeight="1" spans="1:7">
      <c r="A5" s="7" t="s">
        <v>12</v>
      </c>
      <c r="B5" s="8">
        <f>COUNTIF('Product Backlog'!$B$2:$B$200,A5)</f>
        <v>6</v>
      </c>
      <c r="C5" s="8">
        <f>SUMIF('Product Backlog'!$B$2:$B$200,A5,'Product Backlog'!$F$2:$F$200)</f>
        <v>26</v>
      </c>
      <c r="E5" s="9" t="s">
        <v>29</v>
      </c>
      <c r="F5" s="10">
        <f>COUNTIF('Product Backlog'!$J$2:$J$200,E5)</f>
        <v>34</v>
      </c>
      <c r="G5" s="10">
        <f>SUMIF('Product Backlog'!$J$2:$J$200,E5,'Product Backlog'!$F$2:$F$200)</f>
        <v>218</v>
      </c>
    </row>
    <row r="6" ht="15" customHeight="1" spans="1:7">
      <c r="A6" s="7" t="s">
        <v>46</v>
      </c>
      <c r="B6" s="8">
        <f>COUNTIF('Product Backlog'!$B$2:$B$200,A6)</f>
        <v>4</v>
      </c>
      <c r="C6" s="8">
        <f>SUMIF('Product Backlog'!$B$2:$B$200,A6,'Product Backlog'!$F$2:$F$200)</f>
        <v>29</v>
      </c>
      <c r="E6" s="9" t="s">
        <v>64</v>
      </c>
      <c r="F6" s="10">
        <f>COUNTIF('Product Backlog'!$J$2:$J$200,E6)</f>
        <v>8</v>
      </c>
      <c r="G6" s="10">
        <f>SUMIF('Product Backlog'!$J$2:$J$200,E6,'Product Backlog'!$F$2:$F$200)</f>
        <v>50</v>
      </c>
    </row>
    <row r="7" ht="15" customHeight="1" spans="1:7">
      <c r="A7" s="7" t="s">
        <v>60</v>
      </c>
      <c r="B7" s="8">
        <f>COUNTIF('Product Backlog'!$B$2:$B$200,A7)</f>
        <v>8</v>
      </c>
      <c r="C7" s="8">
        <f>SUMIF('Product Backlog'!$B$2:$B$200,A7,'Product Backlog'!$F$2:$F$200)</f>
        <v>52</v>
      </c>
      <c r="E7" s="9" t="s">
        <v>18</v>
      </c>
      <c r="F7" s="10">
        <f>COUNTIF('Product Backlog'!$J$2:$J$200,E7)</f>
        <v>11</v>
      </c>
      <c r="G7" s="10">
        <f>SUMIF('Product Backlog'!$J$2:$J$200,E7,'Product Backlog'!$F$2:$F$200)</f>
        <v>51</v>
      </c>
    </row>
    <row r="8" ht="15" customHeight="1" spans="1:7">
      <c r="A8" s="7" t="s">
        <v>93</v>
      </c>
      <c r="B8" s="8">
        <f>COUNTIF('Product Backlog'!$B$2:$B$200,A8)</f>
        <v>3</v>
      </c>
      <c r="C8" s="8">
        <f>SUMIF('Product Backlog'!$B$2:$B$200,A8,'Product Backlog'!$F$2:$F$200)</f>
        <v>13</v>
      </c>
    </row>
    <row r="9" ht="15" customHeight="1" spans="1:7">
      <c r="A9" s="7" t="s">
        <v>104</v>
      </c>
      <c r="B9" s="8">
        <f>COUNTIF('Product Backlog'!$B$2:$B$200,A9)</f>
        <v>4</v>
      </c>
      <c r="C9" s="8">
        <f>SUMIF('Product Backlog'!$B$2:$B$200,A9,'Product Backlog'!$F$2:$F$200)</f>
        <v>47</v>
      </c>
    </row>
    <row r="10" ht="15" customHeight="1" spans="1:7">
      <c r="A10" s="7" t="s">
        <v>120</v>
      </c>
      <c r="B10" s="8">
        <f>COUNTIF('Product Backlog'!$B$2:$B$200,A10)</f>
        <v>6</v>
      </c>
      <c r="C10" s="8">
        <f>SUMIF('Product Backlog'!$B$2:$B$200,A10,'Product Backlog'!$F$2:$F$200)</f>
        <v>31</v>
      </c>
    </row>
    <row r="11" ht="15" customHeight="1" spans="1:7">
      <c r="A11" s="7" t="s">
        <v>142</v>
      </c>
      <c r="B11" s="8">
        <f>COUNTIF('Product Backlog'!$B$2:$B$200,A11)</f>
        <v>14</v>
      </c>
      <c r="C11" s="8">
        <f>SUMIF('Product Backlog'!$B$2:$B$200,A11,'Product Backlog'!$F$2:$F$200)</f>
        <v>81</v>
      </c>
    </row>
    <row r="12" ht="15" customHeight="1" spans="1:7">
      <c r="A12" s="7" t="s">
        <v>200</v>
      </c>
      <c r="B12" s="8">
        <f>COUNTIF('Product Backlog'!$B$2:$B$200,A12)</f>
        <v>8</v>
      </c>
      <c r="C12" s="8">
        <f>SUMIF('Product Backlog'!$B$2:$B$200,A12,'Product Backlog'!$F$2:$F$200)</f>
        <v>40</v>
      </c>
    </row>
    <row r="13" ht="15" customHeight="1" spans="1:7">
      <c r="A13" s="11" t="s">
        <v>237</v>
      </c>
      <c r="B13" s="12">
        <f>SUM(B5:B12)</f>
        <v>53</v>
      </c>
      <c r="C13" s="12">
        <f>SUM(C5:C12)</f>
        <v>319</v>
      </c>
    </row>
    <row r="14" ht="15" customHeight="1" spans="1:7">
      <c r="A14" s="7" t="s">
        <v>238</v>
      </c>
      <c r="B14" s="8" t="str">
        <f>IF(B13=COUNTA('Product Backlog'!$A$2:$A$200),"Khớp","Lệch")</f>
        <v>Khớp</v>
      </c>
      <c r="C14" s="8" t="str">
        <f>IF(C13=SUM('Product Backlog'!$F$2:$F$200),"Khớp","Lệch")</f>
        <v>Khớp</v>
      </c>
    </row>
    <row r="16" ht="15" customHeight="1" spans="1:7">
      <c r="A16" s="3" t="s">
        <v>239</v>
      </c>
    </row>
    <row r="17" ht="15" customHeight="1" spans="1:3">
      <c r="A17" s="5" t="s">
        <v>4</v>
      </c>
      <c r="B17" s="5" t="s">
        <v>235</v>
      </c>
      <c r="C17" s="5" t="s">
        <v>236</v>
      </c>
    </row>
    <row r="18" ht="15" customHeight="1" spans="1:3">
      <c r="A18" s="7" t="s">
        <v>240</v>
      </c>
      <c r="B18" s="8">
        <f>COUNTIF('Product Backlog'!$E$2:$E$200,"M")</f>
        <v>25</v>
      </c>
      <c r="C18" s="8">
        <f>SUMIF('Product Backlog'!$E$2:$E$200,"M",'Product Backlog'!$F$2:$F$200)</f>
        <v>132</v>
      </c>
    </row>
    <row r="19" ht="15" customHeight="1" spans="1:3">
      <c r="A19" s="7" t="s">
        <v>241</v>
      </c>
      <c r="B19" s="8">
        <f>COUNTIF('Product Backlog'!$E$2:$E$200,"S")</f>
        <v>18</v>
      </c>
      <c r="C19" s="8">
        <f>SUMIF('Product Backlog'!$E$2:$E$200,"S",'Product Backlog'!$F$2:$F$200)</f>
        <v>109</v>
      </c>
    </row>
    <row r="20" ht="15" customHeight="1" spans="1:3">
      <c r="A20" s="7" t="s">
        <v>242</v>
      </c>
      <c r="B20" s="8">
        <f>COUNTIF('Product Backlog'!$E$2:$E$200,"C")</f>
        <v>10</v>
      </c>
      <c r="C20" s="8">
        <f>SUMIF('Product Backlog'!$E$2:$E$200,"C",'Product Backlog'!$F$2:$F$200)</f>
        <v>78</v>
      </c>
    </row>
    <row r="22" ht="15" customHeight="1" spans="1:3">
      <c r="A22" s="3" t="s">
        <v>243</v>
      </c>
    </row>
    <row r="23" ht="15" customHeight="1" spans="1:3">
      <c r="A23" s="5" t="s">
        <v>7</v>
      </c>
      <c r="B23" s="5" t="s">
        <v>235</v>
      </c>
      <c r="C23" s="5" t="s">
        <v>236</v>
      </c>
    </row>
    <row r="24" ht="15" customHeight="1" spans="1:3">
      <c r="A24" s="7" t="s">
        <v>244</v>
      </c>
      <c r="B24" s="8">
        <f>COUNTIF('Product Backlog'!$H$2:$H$200,"MVP")</f>
        <v>27</v>
      </c>
      <c r="C24" s="8">
        <f>SUMIF('Product Backlog'!$H$2:$H$200,"MVP",'Product Backlog'!$F$2:$F$200)</f>
        <v>138</v>
      </c>
    </row>
    <row r="25" ht="15" customHeight="1" spans="1:3">
      <c r="A25" s="7" t="s">
        <v>245</v>
      </c>
      <c r="B25" s="8">
        <f>COUNTIF('Product Backlog'!$H$2:$H$200,"1.1")</f>
        <v>19</v>
      </c>
      <c r="C25" s="8">
        <f>SUMIF('Product Backlog'!$H$2:$H$200,"1.1",'Product Backlog'!$F$2:$F$200)</f>
        <v>115</v>
      </c>
    </row>
    <row r="26" ht="15" customHeight="1" spans="1:3">
      <c r="A26" s="7" t="s">
        <v>246</v>
      </c>
      <c r="B26" s="8">
        <f>COUNTIF('Product Backlog'!$H$2:$H$200,"1.2")</f>
        <v>4</v>
      </c>
      <c r="C26" s="8">
        <f>SUMIF('Product Backlog'!$H$2:$H$200,"1.2",'Product Backlog'!$F$2:$F$200)</f>
        <v>32</v>
      </c>
    </row>
    <row r="27" ht="15" customHeight="1" spans="1:3">
      <c r="A27" s="7" t="s">
        <v>247</v>
      </c>
      <c r="B27" s="8">
        <f>COUNTIF('Product Backlog'!$H$2:$H$200,"2.0")</f>
        <v>3</v>
      </c>
      <c r="C27" s="8">
        <f>SUMIF('Product Backlog'!$H$2:$H$200,"2.0",'Product Backlog'!$F$2:$F$200)</f>
        <v>34</v>
      </c>
    </row>
    <row r="29" ht="15" customHeight="1" spans="1:3">
      <c r="A29" s="3" t="s">
        <v>248</v>
      </c>
    </row>
    <row r="30" ht="15" customHeight="1" spans="1:3">
      <c r="A30" s="5" t="s">
        <v>6</v>
      </c>
      <c r="B30" s="5" t="s">
        <v>235</v>
      </c>
      <c r="C30" s="5" t="s">
        <v>236</v>
      </c>
    </row>
    <row r="31" ht="15" customHeight="1" spans="1:3">
      <c r="A31" s="8">
        <v>1</v>
      </c>
      <c r="B31" s="8">
        <f>COUNTIF('Product Backlog'!$G$2:$G$200,A31)</f>
        <v>11</v>
      </c>
      <c r="C31" s="8">
        <f>SUMIF('Product Backlog'!$G$2:$G$200,A31,'Product Backlog'!$F$2:$F$200)</f>
        <v>51</v>
      </c>
    </row>
    <row r="32" ht="15" customHeight="1" spans="1:3">
      <c r="A32" s="8">
        <v>2</v>
      </c>
      <c r="B32" s="8">
        <f>COUNTIF('Product Backlog'!$G$2:$G$200,A32)</f>
        <v>10</v>
      </c>
      <c r="C32" s="8">
        <f>SUMIF('Product Backlog'!$G$2:$G$200,A32,'Product Backlog'!$F$2:$F$200)</f>
        <v>51</v>
      </c>
    </row>
    <row r="33" ht="15" customHeight="1" spans="1:3">
      <c r="A33" s="8">
        <v>3</v>
      </c>
      <c r="B33" s="8">
        <f>COUNTIF('Product Backlog'!$G$2:$G$200,A33)</f>
        <v>2</v>
      </c>
      <c r="C33" s="8">
        <f>SUMIF('Product Backlog'!$G$2:$G$200,A33,'Product Backlog'!$F$2:$F$200)</f>
        <v>13</v>
      </c>
    </row>
    <row r="34" ht="15" customHeight="1" spans="1:3">
      <c r="A34" s="8">
        <v>4</v>
      </c>
      <c r="B34" s="8">
        <f>COUNTIF('Product Backlog'!$G$2:$G$200,A34)</f>
        <v>2</v>
      </c>
      <c r="C34" s="8">
        <f>SUMIF('Product Backlog'!$G$2:$G$200,A34,'Product Backlog'!$F$2:$F$200)</f>
        <v>13</v>
      </c>
    </row>
    <row r="35" ht="15" customHeight="1" spans="1:3">
      <c r="A35" s="8">
        <v>5</v>
      </c>
      <c r="B35" s="8">
        <f>COUNTIF('Product Backlog'!$G$2:$G$200,A35)</f>
        <v>14</v>
      </c>
      <c r="C35" s="8">
        <f>SUMIF('Product Backlog'!$G$2:$G$200,A35,'Product Backlog'!$F$2:$F$200)</f>
        <v>76</v>
      </c>
    </row>
    <row r="36" ht="15" customHeight="1" spans="1:3">
      <c r="A36" s="8">
        <v>6</v>
      </c>
      <c r="B36" s="8">
        <f>COUNTIF('Product Backlog'!$G$2:$G$200,A36)</f>
        <v>5</v>
      </c>
      <c r="C36" s="8">
        <f>SUMIF('Product Backlog'!$G$2:$G$200,A36,'Product Backlog'!$F$2:$F$200)</f>
        <v>39</v>
      </c>
    </row>
    <row r="37" ht="15" customHeight="1" spans="1:3">
      <c r="A37" s="8">
        <v>7</v>
      </c>
      <c r="B37" s="8">
        <f>COUNTIF('Product Backlog'!$G$2:$G$200,A37)</f>
        <v>1</v>
      </c>
      <c r="C37" s="8">
        <f>SUMIF('Product Backlog'!$G$2:$G$200,A37,'Product Backlog'!$F$2:$F$200)</f>
        <v>8</v>
      </c>
    </row>
    <row r="38" ht="15" customHeight="1" spans="1:3">
      <c r="A38" s="8">
        <v>8</v>
      </c>
      <c r="B38" s="8">
        <f>COUNTIF('Product Backlog'!$G$2:$G$200,A38)</f>
        <v>3</v>
      </c>
      <c r="C38" s="8">
        <f>SUMIF('Product Backlog'!$G$2:$G$200,A38,'Product Backlog'!$F$2:$F$200)</f>
        <v>24</v>
      </c>
    </row>
    <row r="39" ht="15" customHeight="1" spans="1:3">
      <c r="A39" s="8">
        <v>9</v>
      </c>
      <c r="B39" s="8">
        <f>COUNTIF('Product Backlog'!$G$2:$G$200,A39)</f>
        <v>1</v>
      </c>
      <c r="C39" s="8">
        <f>SUMIF('Product Backlog'!$G$2:$G$200,A39,'Product Backlog'!$F$2:$F$200)</f>
        <v>8</v>
      </c>
    </row>
    <row r="40" ht="15" customHeight="1" spans="1:3">
      <c r="A40" s="8">
        <v>10</v>
      </c>
      <c r="B40" s="8">
        <f>COUNTIF('Product Backlog'!$G$2:$G$200,A40)</f>
        <v>2</v>
      </c>
      <c r="C40" s="8">
        <f>SUMIF('Product Backlog'!$G$2:$G$200,A40,'Product Backlog'!$F$2:$F$200)</f>
        <v>26</v>
      </c>
    </row>
    <row r="41" ht="15" customHeight="1" spans="1:3">
      <c r="A41" s="7" t="s">
        <v>249</v>
      </c>
      <c r="B41" s="8">
        <f>COUNTIF('Product Backlog'!$G$2:$G$200,"Liên tục")</f>
        <v>2</v>
      </c>
      <c r="C41" s="8">
        <f>SUMIF('Product Backlog'!$G$2:$G$200,"Liên tục",'Product Backlog'!$F$2:$F$200)</f>
        <v>10</v>
      </c>
    </row>
    <row r="43" ht="15" customHeight="1" spans="1:3">
      <c r="A43" s="13" t="s">
        <v>250</v>
      </c>
    </row>
    <row r="44" ht="15" customHeight="1" spans="1:3">
      <c r="A44" s="14" t="s">
        <v>251</v>
      </c>
    </row>
    <row r="45" ht="15" customHeight="1" spans="1:3">
      <c r="A45" s="14" t="s">
        <v>252</v>
      </c>
    </row>
    <row r="46" ht="15" customHeight="1" spans="1:3">
      <c r="A46" s="14" t="s">
        <v>253</v>
      </c>
    </row>
    <row r="47" ht="15" customHeight="1" spans="1:3">
      <c r="A47" s="14" t="s">
        <v>254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Backlog</vt:lpstr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PANDA Ú</cp:lastModifiedBy>
  <cp:revision>0</cp:revision>
  <dcterms:created xsi:type="dcterms:W3CDTF">2026-10-05T05:53:00Z</dcterms:created>
  <dcterms:modified xsi:type="dcterms:W3CDTF">2026-10-08T02:35:09Z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EAFACA92B486439FBCA1AA9A5DDDD30B_12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